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43B99D46-49DA-456D-8A86-DECCDA9C1A5F}" xr6:coauthVersionLast="47" xr6:coauthVersionMax="47" xr10:uidLastSave="{00000000-0000-0000-0000-000000000000}"/>
  <bookViews>
    <workbookView xWindow="-110" yWindow="-110" windowWidth="19420" windowHeight="10300" xr2:uid="{E81BDC9C-EC96-4E87-878A-2A8227CD02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5" i="1" l="1"/>
  <c r="D47" i="1"/>
  <c r="D48" i="1"/>
  <c r="G4" i="1"/>
  <c r="F4" i="1"/>
  <c r="D46" i="1"/>
  <c r="D44" i="1"/>
  <c r="D43" i="1"/>
  <c r="D42" i="1"/>
  <c r="E4" i="1"/>
  <c r="D4" i="1"/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E41" i="1" l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F41" i="1" l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</calcChain>
</file>

<file path=xl/sharedStrings.xml><?xml version="1.0" encoding="utf-8"?>
<sst xmlns="http://schemas.openxmlformats.org/spreadsheetml/2006/main" count="53" uniqueCount="45">
  <si>
    <t>Proporsi</t>
  </si>
  <si>
    <t>xi-xbar</t>
  </si>
  <si>
    <t>(xi-xbar)^2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</si>
  <si>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</si>
  <si>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</si>
  <si>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</si>
  <si>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</si>
  <si>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</si>
  <si>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</si>
  <si>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</si>
  <si>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</si>
  <si>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</si>
  <si>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</si>
  <si>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</si>
  <si>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</si>
  <si>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</si>
  <si>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</si>
  <si>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</si>
  <si>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</si>
  <si>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</si>
  <si>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</si>
  <si>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</si>
  <si>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</si>
  <si>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</si>
  <si>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</si>
  <si>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</si>
  <si>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</si>
  <si>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</si>
  <si>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</si>
  <si>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</si>
  <si>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</si>
  <si>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</si>
  <si>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Surabaya</t>
  </si>
  <si>
    <t>Batu</t>
  </si>
  <si>
    <t>Total</t>
  </si>
  <si>
    <t>Rata-rata</t>
  </si>
  <si>
    <t>Total Proporsi</t>
  </si>
  <si>
    <t>Total S^2</t>
  </si>
  <si>
    <t>S^2</t>
  </si>
  <si>
    <t>q</t>
  </si>
  <si>
    <t>Jumlah Kemiskinan di Jawa Timur Tahun 2025</t>
  </si>
  <si>
    <t>Kabupaten/
Kota</t>
  </si>
  <si>
    <t>Jumlah 
Penduduk (Jiwa)</t>
  </si>
  <si>
    <t>Persentase 
Kemiskinan</t>
  </si>
  <si>
    <t>Kemiskinan 
(Ribuan)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</si>
</sst>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164" fontId="3" fillId="0" borderId="0" xfId="1" applyNumberFormat="1" applyFont="1"/>
    <xf numFmtId="2" fontId="3" fillId="0" borderId="0" xfId="0" applyNumberFormat="1" applyFont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2" fontId="2" fillId="0" borderId="0" xfId="0" applyNumberFormat="1" applyFont="1"/>
    <xf numFmtId="3" fontId="3" fillId="0" borderId="1" xfId="0" applyNumberFormat="1" applyFont="1" applyBorder="1"/>
    <xf numFmtId="43" fontId="3" fillId="0" borderId="1" xfId="1" applyFont="1" applyBorder="1"/>
    <xf numFmtId="43" fontId="3" fillId="0" borderId="1" xfId="0" applyNumberFormat="1" applyFont="1" applyBorder="1"/>
    <xf numFmtId="43" fontId="2" fillId="0" borderId="0" xfId="1" applyFont="1"/>
    <xf numFmtId="43" fontId="2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37FC-99BA-4B1B-BABA-3CAA96387D03}">
  <dimension ref="A1:G49"/>
  <sheetViews>
    <sheetView tabSelected="1" workbookViewId="0">
      <selection activeCell="F48" sqref="F48"/>
    </sheetView>
  </sheetViews>
  <sheetFormatPr defaultRowHeight="15.5" x14ac:dyDescent="0.35"/>
  <cols>
    <col min="1" max="1" width="12.7265625" style="4" customWidth="1"/>
    <col min="2" max="2" width="16.7265625" style="4" customWidth="1"/>
    <col min="3" max="3" width="14.54296875" style="4" bestFit="1" customWidth="1"/>
    <col min="4" max="4" width="19.90625" style="4" bestFit="1" customWidth="1"/>
    <col min="5" max="5" width="9" style="4" customWidth="1"/>
    <col min="6" max="6" width="12.08984375" style="4" bestFit="1" customWidth="1"/>
    <col min="7" max="7" width="18.81640625" style="4" bestFit="1" customWidth="1"/>
    <col min="8" max="16384" width="8.7265625" style="4"/>
  </cols>
  <sheetData>
    <row r="1" spans="1:7" x14ac:dyDescent="0.35">
      <c r="A1" s="1" t="s">
        <v>40</v>
      </c>
      <c r="B1" s="2"/>
      <c r="C1" s="3"/>
    </row>
    <row r="2" spans="1:7" x14ac:dyDescent="0.35">
      <c r="B2" s="2"/>
      <c r="C2" s="3"/>
    </row>
    <row r="3" spans="1:7" ht="30" x14ac:dyDescent="0.35">
      <c r="A3" s="13" t="s">
        <v>41</v>
      </c>
      <c r="B3" s="14" t="s">
        <v>42</v>
      </c>
      <c r="C3" s="15" t="s">
        <v>43</v>
      </c>
      <c r="D3" s="16" t="s">
        <v>44</v>
      </c>
      <c r="E3" s="17" t="s">
        <v>0</v>
      </c>
      <c r="F3" s="18" t="s">
        <v>1</v>
      </c>
      <c r="G3" s="18" t="s">
        <v>2</v>
      </c>
    </row>
    <row r="4" spans="1:7" x14ac:dyDescent="0.35">
      <c r="A4" s="5" t="s">
        <v>3</v>
      </c>
      <c r="B4" s="8">
        <v>589034</v>
      </c>
      <c r="C4" s="5">
        <v>12.97</v>
      </c>
      <c r="D4" s="9">
        <f>C4*B4/100</f>
        <v>76397.709800000011</v>
      </c>
      <c r="E4" s="10">
        <f>D4/B4</f>
        <v>0.12970000000000001</v>
      </c>
      <c r="F4" s="10">
        <f>D4-$D$43</f>
        <v>-29316.850715789478</v>
      </c>
      <c r="G4" s="9">
        <f>F4^2</f>
        <v>859477735.891886</v>
      </c>
    </row>
    <row r="5" spans="1:7" x14ac:dyDescent="0.35">
      <c r="A5" s="6" t="s">
        <v>4</v>
      </c>
      <c r="B5" s="8">
        <v>966111</v>
      </c>
      <c r="C5" s="5">
        <v>8.86</v>
      </c>
      <c r="D5" s="9">
        <f t="shared" ref="D5:D41" si="0">C5*B5/100</f>
        <v>85597.434599999993</v>
      </c>
      <c r="E5" s="10">
        <f t="shared" ref="E5:E41" si="1">D5/B5</f>
        <v>8.8599999999999998E-2</v>
      </c>
      <c r="F5" s="10">
        <f t="shared" ref="F5:F41" si="2">D5-$D$43</f>
        <v>-20117.125915789497</v>
      </c>
      <c r="G5" s="9">
        <f t="shared" ref="G5:G41" si="3">F5^2</f>
        <v>404698755.11172938</v>
      </c>
    </row>
    <row r="6" spans="1:7" x14ac:dyDescent="0.35">
      <c r="A6" s="6" t="s">
        <v>5</v>
      </c>
      <c r="B6" s="8">
        <v>747614</v>
      </c>
      <c r="C6" s="5">
        <v>10.29</v>
      </c>
      <c r="D6" s="9">
        <f t="shared" si="0"/>
        <v>76929.480599999995</v>
      </c>
      <c r="E6" s="10">
        <f t="shared" si="1"/>
        <v>0.10289999999999999</v>
      </c>
      <c r="F6" s="10">
        <f t="shared" si="2"/>
        <v>-28785.079915789494</v>
      </c>
      <c r="G6" s="9">
        <f t="shared" si="3"/>
        <v>828580825.75838768</v>
      </c>
    </row>
    <row r="7" spans="1:7" x14ac:dyDescent="0.35">
      <c r="A7" s="6" t="s">
        <v>6</v>
      </c>
      <c r="B7" s="8">
        <v>1119588</v>
      </c>
      <c r="C7" s="5">
        <v>5.96</v>
      </c>
      <c r="D7" s="9">
        <f t="shared" si="0"/>
        <v>66727.444799999997</v>
      </c>
      <c r="E7" s="10">
        <f t="shared" si="1"/>
        <v>5.96E-2</v>
      </c>
      <c r="F7" s="10">
        <f t="shared" si="2"/>
        <v>-38987.115715789492</v>
      </c>
      <c r="G7" s="9">
        <f t="shared" si="3"/>
        <v>1519995191.83636</v>
      </c>
    </row>
    <row r="8" spans="1:7" x14ac:dyDescent="0.35">
      <c r="A8" s="6" t="s">
        <v>7</v>
      </c>
      <c r="B8" s="8">
        <v>1273451</v>
      </c>
      <c r="C8" s="5">
        <v>7.57</v>
      </c>
      <c r="D8" s="9">
        <f t="shared" si="0"/>
        <v>96400.240700000009</v>
      </c>
      <c r="E8" s="10">
        <f t="shared" si="1"/>
        <v>7.5700000000000003E-2</v>
      </c>
      <c r="F8" s="10">
        <f t="shared" si="2"/>
        <v>-9314.3198157894803</v>
      </c>
      <c r="G8" s="9">
        <f t="shared" si="3"/>
        <v>86756553.630808577</v>
      </c>
    </row>
    <row r="9" spans="1:7" x14ac:dyDescent="0.35">
      <c r="A9" s="6" t="s">
        <v>8</v>
      </c>
      <c r="B9" s="8">
        <v>1702262</v>
      </c>
      <c r="C9" s="5">
        <v>9.81</v>
      </c>
      <c r="D9" s="9">
        <f t="shared" si="0"/>
        <v>166991.90220000001</v>
      </c>
      <c r="E9" s="10">
        <f t="shared" si="1"/>
        <v>9.8100000000000007E-2</v>
      </c>
      <c r="F9" s="10">
        <f t="shared" si="2"/>
        <v>61277.341684210522</v>
      </c>
      <c r="G9" s="9">
        <f t="shared" si="3"/>
        <v>3754912603.8834844</v>
      </c>
    </row>
    <row r="10" spans="1:7" x14ac:dyDescent="0.35">
      <c r="A10" s="6" t="s">
        <v>9</v>
      </c>
      <c r="B10" s="8">
        <v>2755438</v>
      </c>
      <c r="C10" s="5">
        <v>8.7799999999999994</v>
      </c>
      <c r="D10" s="9">
        <f t="shared" si="0"/>
        <v>241927.45639999997</v>
      </c>
      <c r="E10" s="10">
        <f t="shared" si="1"/>
        <v>8.7799999999999989E-2</v>
      </c>
      <c r="F10" s="10">
        <f t="shared" si="2"/>
        <v>136212.89588421048</v>
      </c>
      <c r="G10" s="9">
        <f t="shared" si="3"/>
        <v>18553953005.162762</v>
      </c>
    </row>
    <row r="11" spans="1:7" x14ac:dyDescent="0.35">
      <c r="A11" s="6" t="s">
        <v>10</v>
      </c>
      <c r="B11" s="8">
        <v>1152264</v>
      </c>
      <c r="C11" s="5">
        <v>8.6</v>
      </c>
      <c r="D11" s="9">
        <f t="shared" si="0"/>
        <v>99094.703999999998</v>
      </c>
      <c r="E11" s="10">
        <f t="shared" si="1"/>
        <v>8.5999999999999993E-2</v>
      </c>
      <c r="F11" s="10">
        <f t="shared" si="2"/>
        <v>-6619.8565157894918</v>
      </c>
      <c r="G11" s="9">
        <f t="shared" si="3"/>
        <v>43822500.289640591</v>
      </c>
    </row>
    <row r="12" spans="1:7" x14ac:dyDescent="0.35">
      <c r="A12" s="6" t="s">
        <v>11</v>
      </c>
      <c r="B12" s="8">
        <v>2620135</v>
      </c>
      <c r="C12" s="5">
        <v>8.67</v>
      </c>
      <c r="D12" s="9">
        <f t="shared" si="0"/>
        <v>227165.70449999999</v>
      </c>
      <c r="E12" s="10">
        <f t="shared" si="1"/>
        <v>8.6699999999999999E-2</v>
      </c>
      <c r="F12" s="10">
        <f t="shared" si="2"/>
        <v>121451.1439842105</v>
      </c>
      <c r="G12" s="9">
        <f t="shared" si="3"/>
        <v>14750380375.073431</v>
      </c>
    </row>
    <row r="13" spans="1:7" x14ac:dyDescent="0.35">
      <c r="A13" s="6" t="s">
        <v>12</v>
      </c>
      <c r="B13" s="8">
        <v>1764540</v>
      </c>
      <c r="C13" s="5">
        <v>6.13</v>
      </c>
      <c r="D13" s="9">
        <f t="shared" si="0"/>
        <v>108166.302</v>
      </c>
      <c r="E13" s="10">
        <f t="shared" si="1"/>
        <v>6.13E-2</v>
      </c>
      <c r="F13" s="10">
        <f t="shared" si="2"/>
        <v>2451.7414842105063</v>
      </c>
      <c r="G13" s="9">
        <f t="shared" si="3"/>
        <v>6011036.3053987361</v>
      </c>
    </row>
    <row r="14" spans="1:7" x14ac:dyDescent="0.35">
      <c r="A14" s="6" t="s">
        <v>13</v>
      </c>
      <c r="B14" s="8">
        <v>796300</v>
      </c>
      <c r="C14" s="5">
        <v>12.2</v>
      </c>
      <c r="D14" s="9">
        <f t="shared" si="0"/>
        <v>97148.6</v>
      </c>
      <c r="E14" s="10">
        <f t="shared" si="1"/>
        <v>0.12200000000000001</v>
      </c>
      <c r="F14" s="10">
        <f t="shared" si="2"/>
        <v>-8565.9605157894839</v>
      </c>
      <c r="G14" s="9">
        <f t="shared" si="3"/>
        <v>73375679.558064446</v>
      </c>
    </row>
    <row r="15" spans="1:7" x14ac:dyDescent="0.35">
      <c r="A15" s="6" t="s">
        <v>14</v>
      </c>
      <c r="B15" s="8">
        <v>704243</v>
      </c>
      <c r="C15" s="5">
        <v>11.17</v>
      </c>
      <c r="D15" s="9">
        <f t="shared" si="0"/>
        <v>78663.943099999989</v>
      </c>
      <c r="E15" s="10">
        <f t="shared" si="1"/>
        <v>0.11169999999999998</v>
      </c>
      <c r="F15" s="10">
        <f t="shared" si="2"/>
        <v>-27050.6174157895</v>
      </c>
      <c r="G15" s="9">
        <f t="shared" si="3"/>
        <v>731735902.57541418</v>
      </c>
    </row>
    <row r="16" spans="1:7" x14ac:dyDescent="0.35">
      <c r="A16" s="6" t="s">
        <v>15</v>
      </c>
      <c r="B16" s="8">
        <v>1193272</v>
      </c>
      <c r="C16" s="5">
        <v>16.309999999999999</v>
      </c>
      <c r="D16" s="9">
        <f t="shared" si="0"/>
        <v>194622.66320000001</v>
      </c>
      <c r="E16" s="10">
        <f t="shared" si="1"/>
        <v>0.16309999999999999</v>
      </c>
      <c r="F16" s="10">
        <f t="shared" si="2"/>
        <v>88908.10268421052</v>
      </c>
      <c r="G16" s="9">
        <f t="shared" si="3"/>
        <v>7904650722.9061222</v>
      </c>
    </row>
    <row r="17" spans="1:7" x14ac:dyDescent="0.35">
      <c r="A17" s="6" t="s">
        <v>16</v>
      </c>
      <c r="B17" s="8">
        <v>1669400</v>
      </c>
      <c r="C17" s="5">
        <v>8.2100000000000009</v>
      </c>
      <c r="D17" s="9">
        <f t="shared" si="0"/>
        <v>137057.74000000002</v>
      </c>
      <c r="E17" s="10">
        <f t="shared" si="1"/>
        <v>8.2100000000000006E-2</v>
      </c>
      <c r="F17" s="10">
        <f t="shared" si="2"/>
        <v>31343.17948421053</v>
      </c>
      <c r="G17" s="9">
        <f t="shared" si="3"/>
        <v>982394900.17943585</v>
      </c>
    </row>
    <row r="18" spans="1:7" x14ac:dyDescent="0.35">
      <c r="A18" s="6" t="s">
        <v>17</v>
      </c>
      <c r="B18" s="8">
        <v>2193692</v>
      </c>
      <c r="C18" s="5">
        <v>4.4000000000000004</v>
      </c>
      <c r="D18" s="9">
        <f t="shared" si="0"/>
        <v>96522.448000000004</v>
      </c>
      <c r="E18" s="10">
        <f t="shared" si="1"/>
        <v>4.4000000000000004E-2</v>
      </c>
      <c r="F18" s="10">
        <f t="shared" si="2"/>
        <v>-9192.1125157894858</v>
      </c>
      <c r="G18" s="9">
        <f t="shared" si="3"/>
        <v>84494932.502933711</v>
      </c>
    </row>
    <row r="19" spans="1:7" x14ac:dyDescent="0.35">
      <c r="A19" s="6" t="s">
        <v>18</v>
      </c>
      <c r="B19" s="8">
        <v>1162696</v>
      </c>
      <c r="C19" s="5">
        <v>8.7899999999999991</v>
      </c>
      <c r="D19" s="9">
        <f t="shared" si="0"/>
        <v>102200.97839999999</v>
      </c>
      <c r="E19" s="10">
        <f t="shared" si="1"/>
        <v>8.7899999999999992E-2</v>
      </c>
      <c r="F19" s="10">
        <f t="shared" si="2"/>
        <v>-3513.582115789497</v>
      </c>
      <c r="G19" s="9">
        <f t="shared" si="3"/>
        <v>12345259.284395799</v>
      </c>
    </row>
    <row r="20" spans="1:7" x14ac:dyDescent="0.35">
      <c r="A20" s="6" t="s">
        <v>19</v>
      </c>
      <c r="B20" s="8">
        <v>1373793</v>
      </c>
      <c r="C20" s="5">
        <v>8.36</v>
      </c>
      <c r="D20" s="9">
        <f t="shared" si="0"/>
        <v>114849.09479999999</v>
      </c>
      <c r="E20" s="10">
        <f t="shared" si="1"/>
        <v>8.3599999999999994E-2</v>
      </c>
      <c r="F20" s="10">
        <f t="shared" si="2"/>
        <v>9134.5342842105019</v>
      </c>
      <c r="G20" s="9">
        <f t="shared" si="3"/>
        <v>83439716.58941707</v>
      </c>
    </row>
    <row r="21" spans="1:7" x14ac:dyDescent="0.35">
      <c r="A21" s="6" t="s">
        <v>20</v>
      </c>
      <c r="B21" s="8">
        <v>1138604</v>
      </c>
      <c r="C21" s="5">
        <v>10.06</v>
      </c>
      <c r="D21" s="9">
        <f t="shared" si="0"/>
        <v>114543.5624</v>
      </c>
      <c r="E21" s="10">
        <f t="shared" si="1"/>
        <v>0.10059999999999999</v>
      </c>
      <c r="F21" s="10">
        <f t="shared" si="2"/>
        <v>8829.0018842105055</v>
      </c>
      <c r="G21" s="9">
        <f t="shared" si="3"/>
        <v>77951274.271392658</v>
      </c>
    </row>
    <row r="22" spans="1:7" x14ac:dyDescent="0.35">
      <c r="A22" s="6" t="s">
        <v>21</v>
      </c>
      <c r="B22" s="8">
        <v>760948</v>
      </c>
      <c r="C22" s="5">
        <v>10.4</v>
      </c>
      <c r="D22" s="9">
        <f t="shared" si="0"/>
        <v>79138.592000000004</v>
      </c>
      <c r="E22" s="10">
        <f t="shared" si="1"/>
        <v>0.10400000000000001</v>
      </c>
      <c r="F22" s="10">
        <f t="shared" si="2"/>
        <v>-26575.968515789486</v>
      </c>
      <c r="G22" s="9">
        <f t="shared" si="3"/>
        <v>706282102.55223393</v>
      </c>
    </row>
    <row r="23" spans="1:7" x14ac:dyDescent="0.35">
      <c r="A23" s="6" t="s">
        <v>22</v>
      </c>
      <c r="B23" s="8">
        <v>689209</v>
      </c>
      <c r="C23" s="5">
        <v>9.14</v>
      </c>
      <c r="D23" s="9">
        <f t="shared" si="0"/>
        <v>62993.702600000004</v>
      </c>
      <c r="E23" s="10">
        <f t="shared" si="1"/>
        <v>9.1400000000000009E-2</v>
      </c>
      <c r="F23" s="10">
        <f t="shared" si="2"/>
        <v>-42720.857915789486</v>
      </c>
      <c r="G23" s="9">
        <f t="shared" si="3"/>
        <v>1825071701.0610731</v>
      </c>
    </row>
    <row r="24" spans="1:7" x14ac:dyDescent="0.35">
      <c r="A24" s="6" t="s">
        <v>23</v>
      </c>
      <c r="B24" s="8">
        <v>887172</v>
      </c>
      <c r="C24" s="5">
        <v>13.62</v>
      </c>
      <c r="D24" s="9">
        <f t="shared" si="0"/>
        <v>120832.82639999999</v>
      </c>
      <c r="E24" s="10">
        <f t="shared" si="1"/>
        <v>0.13619999999999999</v>
      </c>
      <c r="F24" s="10">
        <f t="shared" si="2"/>
        <v>15118.265884210501</v>
      </c>
      <c r="G24" s="9">
        <f t="shared" si="3"/>
        <v>228561963.34568313</v>
      </c>
    </row>
    <row r="25" spans="1:7" x14ac:dyDescent="0.35">
      <c r="A25" s="6" t="s">
        <v>24</v>
      </c>
      <c r="B25" s="8">
        <v>1330516</v>
      </c>
      <c r="C25" s="5">
        <v>11.49</v>
      </c>
      <c r="D25" s="9">
        <f t="shared" si="0"/>
        <v>152876.28839999999</v>
      </c>
      <c r="E25" s="10">
        <f t="shared" si="1"/>
        <v>0.11489999999999999</v>
      </c>
      <c r="F25" s="10">
        <f t="shared" si="2"/>
        <v>47161.727884210501</v>
      </c>
      <c r="G25" s="9">
        <f t="shared" si="3"/>
        <v>2224228577.0243182</v>
      </c>
    </row>
    <row r="26" spans="1:7" x14ac:dyDescent="0.35">
      <c r="A26" s="6" t="s">
        <v>25</v>
      </c>
      <c r="B26" s="8">
        <v>1231374</v>
      </c>
      <c r="C26" s="5">
        <v>14.13</v>
      </c>
      <c r="D26" s="9">
        <f t="shared" si="0"/>
        <v>173993.14620000002</v>
      </c>
      <c r="E26" s="10">
        <f t="shared" si="1"/>
        <v>0.14130000000000001</v>
      </c>
      <c r="F26" s="10">
        <f t="shared" si="2"/>
        <v>68278.585684210528</v>
      </c>
      <c r="G26" s="9">
        <f t="shared" si="3"/>
        <v>4661965263.0360785</v>
      </c>
    </row>
    <row r="27" spans="1:7" x14ac:dyDescent="0.35">
      <c r="A27" s="6" t="s">
        <v>26</v>
      </c>
      <c r="B27" s="8">
        <v>1386390</v>
      </c>
      <c r="C27" s="5">
        <v>12.03</v>
      </c>
      <c r="D27" s="9">
        <f t="shared" si="0"/>
        <v>166782.717</v>
      </c>
      <c r="E27" s="10">
        <f t="shared" si="1"/>
        <v>0.1203</v>
      </c>
      <c r="F27" s="10">
        <f t="shared" si="2"/>
        <v>61068.156484210514</v>
      </c>
      <c r="G27" s="9">
        <f t="shared" si="3"/>
        <v>3729319736.3800225</v>
      </c>
    </row>
    <row r="28" spans="1:7" x14ac:dyDescent="0.35">
      <c r="A28" s="6" t="s">
        <v>27</v>
      </c>
      <c r="B28" s="8">
        <v>1377287</v>
      </c>
      <c r="C28" s="5">
        <v>9.9499999999999993</v>
      </c>
      <c r="D28" s="9">
        <f t="shared" si="0"/>
        <v>137040.05649999998</v>
      </c>
      <c r="E28" s="10">
        <f t="shared" si="1"/>
        <v>9.9499999999999977E-2</v>
      </c>
      <c r="F28" s="10">
        <f t="shared" si="2"/>
        <v>31325.495984210487</v>
      </c>
      <c r="G28" s="9">
        <f t="shared" si="3"/>
        <v>981286698.6567874</v>
      </c>
    </row>
    <row r="29" spans="1:7" x14ac:dyDescent="0.35">
      <c r="A29" s="6" t="s">
        <v>28</v>
      </c>
      <c r="B29" s="8">
        <v>1112956</v>
      </c>
      <c r="C29" s="5">
        <v>18.25</v>
      </c>
      <c r="D29" s="9">
        <f t="shared" si="0"/>
        <v>203114.47</v>
      </c>
      <c r="E29" s="10">
        <f t="shared" si="1"/>
        <v>0.1825</v>
      </c>
      <c r="F29" s="10">
        <f t="shared" si="2"/>
        <v>97399.909484210511</v>
      </c>
      <c r="G29" s="9">
        <f t="shared" si="3"/>
        <v>9486742367.5324001</v>
      </c>
    </row>
    <row r="30" spans="1:7" x14ac:dyDescent="0.35">
      <c r="A30" s="6" t="s">
        <v>29</v>
      </c>
      <c r="B30" s="8">
        <v>1027538</v>
      </c>
      <c r="C30" s="5">
        <v>20.61</v>
      </c>
      <c r="D30" s="9">
        <f t="shared" si="0"/>
        <v>211775.58179999999</v>
      </c>
      <c r="E30" s="10">
        <f t="shared" si="1"/>
        <v>0.20609999999999998</v>
      </c>
      <c r="F30" s="10">
        <f t="shared" si="2"/>
        <v>106061.0212842105</v>
      </c>
      <c r="G30" s="9">
        <f t="shared" si="3"/>
        <v>11248940235.849752</v>
      </c>
    </row>
    <row r="31" spans="1:7" x14ac:dyDescent="0.35">
      <c r="A31" s="6" t="s">
        <v>30</v>
      </c>
      <c r="B31" s="8">
        <v>893327</v>
      </c>
      <c r="C31" s="5">
        <v>12.77</v>
      </c>
      <c r="D31" s="9">
        <f t="shared" si="0"/>
        <v>114077.85789999999</v>
      </c>
      <c r="E31" s="10">
        <f t="shared" si="1"/>
        <v>0.12769999999999998</v>
      </c>
      <c r="F31" s="10">
        <f t="shared" si="2"/>
        <v>8363.2973842104984</v>
      </c>
      <c r="G31" s="9">
        <f t="shared" si="3"/>
        <v>69944743.13674216</v>
      </c>
    </row>
    <row r="32" spans="1:7" x14ac:dyDescent="0.35">
      <c r="A32" s="6" t="s">
        <v>31</v>
      </c>
      <c r="B32" s="8">
        <v>1159397</v>
      </c>
      <c r="C32" s="5">
        <v>17.02</v>
      </c>
      <c r="D32" s="9">
        <f t="shared" si="0"/>
        <v>197329.36940000003</v>
      </c>
      <c r="E32" s="10">
        <f t="shared" si="1"/>
        <v>0.17020000000000002</v>
      </c>
      <c r="F32" s="10">
        <f t="shared" si="2"/>
        <v>91614.808884210535</v>
      </c>
      <c r="G32" s="9">
        <f t="shared" si="3"/>
        <v>8393273206.8904219</v>
      </c>
    </row>
    <row r="33" spans="1:7" x14ac:dyDescent="0.35">
      <c r="A33" s="6" t="s">
        <v>8</v>
      </c>
      <c r="B33" s="8">
        <v>301202</v>
      </c>
      <c r="C33" s="5">
        <v>6.04</v>
      </c>
      <c r="D33" s="9">
        <f t="shared" si="0"/>
        <v>18192.6008</v>
      </c>
      <c r="E33" s="10">
        <f t="shared" si="1"/>
        <v>6.0400000000000002E-2</v>
      </c>
      <c r="F33" s="10">
        <f t="shared" si="2"/>
        <v>-87521.95971578949</v>
      </c>
      <c r="G33" s="9">
        <f t="shared" si="3"/>
        <v>7660093432.4922781</v>
      </c>
    </row>
    <row r="34" spans="1:7" x14ac:dyDescent="0.35">
      <c r="A34" s="6" t="s">
        <v>7</v>
      </c>
      <c r="B34" s="8">
        <v>156330</v>
      </c>
      <c r="C34" s="5">
        <v>6.6</v>
      </c>
      <c r="D34" s="9">
        <f t="shared" si="0"/>
        <v>10317.780000000001</v>
      </c>
      <c r="E34" s="10">
        <f t="shared" si="1"/>
        <v>6.6000000000000003E-2</v>
      </c>
      <c r="F34" s="10">
        <f t="shared" si="2"/>
        <v>-95396.780515789491</v>
      </c>
      <c r="G34" s="9">
        <f t="shared" si="3"/>
        <v>9100545732.7777138</v>
      </c>
    </row>
    <row r="35" spans="1:7" x14ac:dyDescent="0.35">
      <c r="A35" s="6" t="s">
        <v>9</v>
      </c>
      <c r="B35" s="8">
        <v>879873</v>
      </c>
      <c r="C35" s="5">
        <v>3.85</v>
      </c>
      <c r="D35" s="9">
        <f t="shared" si="0"/>
        <v>33875.110500000003</v>
      </c>
      <c r="E35" s="10">
        <f t="shared" si="1"/>
        <v>3.85E-2</v>
      </c>
      <c r="F35" s="10">
        <f t="shared" si="2"/>
        <v>-71839.45001578948</v>
      </c>
      <c r="G35" s="9">
        <f t="shared" si="3"/>
        <v>5160906578.5711155</v>
      </c>
    </row>
    <row r="36" spans="1:7" x14ac:dyDescent="0.35">
      <c r="A36" s="6" t="s">
        <v>15</v>
      </c>
      <c r="B36" s="8">
        <v>252085</v>
      </c>
      <c r="C36" s="5">
        <v>5.69</v>
      </c>
      <c r="D36" s="9">
        <f t="shared" si="0"/>
        <v>14343.636500000001</v>
      </c>
      <c r="E36" s="10">
        <f t="shared" si="1"/>
        <v>5.6899999999999999E-2</v>
      </c>
      <c r="F36" s="10">
        <f t="shared" si="2"/>
        <v>-91370.924015789496</v>
      </c>
      <c r="G36" s="9">
        <f t="shared" si="3"/>
        <v>8348645755.4991779</v>
      </c>
    </row>
    <row r="37" spans="1:7" x14ac:dyDescent="0.35">
      <c r="A37" s="6" t="s">
        <v>16</v>
      </c>
      <c r="B37" s="8">
        <v>222334</v>
      </c>
      <c r="C37" s="5">
        <v>6.18</v>
      </c>
      <c r="D37" s="9">
        <f t="shared" si="0"/>
        <v>13740.241199999999</v>
      </c>
      <c r="E37" s="10">
        <f t="shared" si="1"/>
        <v>6.1799999999999994E-2</v>
      </c>
      <c r="F37" s="10">
        <f t="shared" si="2"/>
        <v>-91974.319315789486</v>
      </c>
      <c r="G37" s="9">
        <f t="shared" si="3"/>
        <v>8459275413.602807</v>
      </c>
    </row>
    <row r="38" spans="1:7" x14ac:dyDescent="0.35">
      <c r="A38" s="6" t="s">
        <v>18</v>
      </c>
      <c r="B38" s="8">
        <v>138613</v>
      </c>
      <c r="C38" s="5">
        <v>5.05</v>
      </c>
      <c r="D38" s="9">
        <f t="shared" si="0"/>
        <v>6999.9565000000002</v>
      </c>
      <c r="E38" s="10">
        <f t="shared" si="1"/>
        <v>5.0500000000000003E-2</v>
      </c>
      <c r="F38" s="10">
        <f t="shared" si="2"/>
        <v>-98714.604015789489</v>
      </c>
      <c r="G38" s="9">
        <f t="shared" si="3"/>
        <v>9744573045.9941216</v>
      </c>
    </row>
    <row r="39" spans="1:7" x14ac:dyDescent="0.35">
      <c r="A39" s="6" t="s">
        <v>21</v>
      </c>
      <c r="B39" s="8">
        <v>203552</v>
      </c>
      <c r="C39" s="5">
        <v>3.89</v>
      </c>
      <c r="D39" s="9">
        <f t="shared" si="0"/>
        <v>7918.1728000000003</v>
      </c>
      <c r="E39" s="10">
        <f t="shared" si="1"/>
        <v>3.8900000000000004E-2</v>
      </c>
      <c r="F39" s="10">
        <f t="shared" si="2"/>
        <v>-97796.387715789489</v>
      </c>
      <c r="G39" s="9">
        <f t="shared" si="3"/>
        <v>9564133450.257021</v>
      </c>
    </row>
    <row r="40" spans="1:7" x14ac:dyDescent="0.35">
      <c r="A40" s="6" t="s">
        <v>32</v>
      </c>
      <c r="B40" s="8">
        <v>2931611</v>
      </c>
      <c r="C40" s="5">
        <v>3.56</v>
      </c>
      <c r="D40" s="9">
        <f t="shared" si="0"/>
        <v>104365.35159999999</v>
      </c>
      <c r="E40" s="10">
        <f t="shared" si="1"/>
        <v>3.56E-2</v>
      </c>
      <c r="F40" s="10">
        <f t="shared" si="2"/>
        <v>-1349.2089157894952</v>
      </c>
      <c r="G40" s="9">
        <f t="shared" si="3"/>
        <v>1820364.6984458652</v>
      </c>
    </row>
    <row r="41" spans="1:7" x14ac:dyDescent="0.35">
      <c r="A41" s="6" t="s">
        <v>33</v>
      </c>
      <c r="B41" s="8">
        <v>225120</v>
      </c>
      <c r="C41" s="5">
        <v>2.86</v>
      </c>
      <c r="D41" s="9">
        <f t="shared" si="0"/>
        <v>6438.4319999999998</v>
      </c>
      <c r="E41" s="10">
        <f t="shared" si="1"/>
        <v>2.86E-2</v>
      </c>
      <c r="F41" s="10">
        <f t="shared" si="2"/>
        <v>-99276.128515789489</v>
      </c>
      <c r="G41" s="9">
        <f t="shared" si="3"/>
        <v>9855749693.0835514</v>
      </c>
    </row>
    <row r="42" spans="1:7" x14ac:dyDescent="0.35">
      <c r="C42" s="7" t="s">
        <v>34</v>
      </c>
      <c r="D42" s="11">
        <f>SUM(D4:D41)</f>
        <v>4017153.2996000005</v>
      </c>
    </row>
    <row r="43" spans="1:7" x14ac:dyDescent="0.35">
      <c r="C43" s="7" t="s">
        <v>35</v>
      </c>
      <c r="D43" s="12">
        <f>AVERAGE(D4:D41)</f>
        <v>105714.56051578949</v>
      </c>
    </row>
    <row r="44" spans="1:7" x14ac:dyDescent="0.35">
      <c r="C44" s="7" t="s">
        <v>36</v>
      </c>
      <c r="D44" s="11">
        <f>SUM(E4:E41)</f>
        <v>3.6027</v>
      </c>
    </row>
    <row r="45" spans="1:7" x14ac:dyDescent="0.35">
      <c r="C45" s="7" t="s">
        <v>0</v>
      </c>
      <c r="D45" s="11">
        <f>D44/38</f>
        <v>9.4807894736842105E-2</v>
      </c>
    </row>
    <row r="46" spans="1:7" x14ac:dyDescent="0.35">
      <c r="C46" s="7" t="s">
        <v>37</v>
      </c>
      <c r="D46" s="11">
        <f>SUM(G4:G41)</f>
        <v>162210337033.25281</v>
      </c>
    </row>
    <row r="47" spans="1:7" x14ac:dyDescent="0.35">
      <c r="C47" s="7" t="s">
        <v>38</v>
      </c>
      <c r="D47" s="12">
        <f>D46/37</f>
        <v>4384063163.0608864</v>
      </c>
    </row>
    <row r="48" spans="1:7" x14ac:dyDescent="0.35">
      <c r="C48" s="7" t="s">
        <v>39</v>
      </c>
      <c r="D48" s="12">
        <f>1-D45</f>
        <v>0.90519210526315785</v>
      </c>
    </row>
    <row r="49" spans="3:3" x14ac:dyDescent="0.35">
      <c r="C4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2026-05-25T08:35:25Z</dcterms:created>
  <dcterms:modified xsi:type="dcterms:W3CDTF">2026-05-27T11:17:24Z</dcterms:modified>
</cp:coreProperties>
</file>